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s\Desktop\"/>
    </mc:Choice>
  </mc:AlternateContent>
  <xr:revisionPtr revIDLastSave="0" documentId="13_ncr:1_{3AD5D41E-89D5-458B-B8C7-2E81F844B706}" xr6:coauthVersionLast="47" xr6:coauthVersionMax="47" xr10:uidLastSave="{00000000-0000-0000-0000-000000000000}"/>
  <bookViews>
    <workbookView xWindow="28680" yWindow="-120" windowWidth="29040" windowHeight="15720" tabRatio="7" xr2:uid="{7BE0EAFC-8B6B-4F35-9CED-4892FC9945DB}"/>
  </bookViews>
  <sheets>
    <sheet name="Planilha2" sheetId="2" r:id="rId1"/>
    <sheet name="Planilha1" sheetId="3" r:id="rId2"/>
  </sheets>
  <definedNames>
    <definedName name="invest_mes">Planilha2!$C$16</definedName>
    <definedName name="patrimonio">Planilha2!$C$19</definedName>
    <definedName name="rendimento_carteira">Planilha2!$C$12</definedName>
    <definedName name="tempo_anos">Planilha2!$C$17</definedName>
    <definedName name="tx_red_mensal">Planilha2!$C$18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3" i="2" l="1"/>
  <c r="D23" i="2" s="1"/>
  <c r="C13" i="2"/>
  <c r="C35" i="2"/>
  <c r="E35" i="2" s="1"/>
  <c r="C36" i="2"/>
  <c r="E36" i="2" s="1"/>
  <c r="C37" i="2"/>
  <c r="E37" i="2" s="1"/>
  <c r="C38" i="2"/>
  <c r="E38" i="2" s="1"/>
  <c r="C39" i="2"/>
  <c r="E39" i="2" s="1"/>
  <c r="C34" i="2"/>
  <c r="E34" i="2" s="1"/>
  <c r="A8" i="3"/>
  <c r="A9" i="3"/>
  <c r="A10" i="3"/>
  <c r="A11" i="3"/>
  <c r="A12" i="3"/>
  <c r="A13" i="3"/>
  <c r="A14" i="3"/>
  <c r="A15" i="3"/>
  <c r="A16" i="3"/>
  <c r="A17" i="3"/>
  <c r="A18" i="3"/>
  <c r="A19" i="3"/>
  <c r="A3" i="3"/>
  <c r="A4" i="3"/>
  <c r="A5" i="3"/>
  <c r="A6" i="3"/>
  <c r="A7" i="3"/>
  <c r="A2" i="3"/>
  <c r="E40" i="2" l="1"/>
  <c r="C19" i="2" l="1"/>
  <c r="C20" i="2" s="1"/>
  <c r="C25" i="2" l="1"/>
  <c r="D25" i="2" s="1"/>
  <c r="C26" i="2"/>
  <c r="D26" i="2" s="1"/>
  <c r="C27" i="2"/>
  <c r="D27" i="2" s="1"/>
  <c r="C24" i="2"/>
  <c r="D24" i="2" s="1"/>
</calcChain>
</file>

<file path=xl/sharedStrings.xml><?xml version="1.0" encoding="utf-8"?>
<sst xmlns="http://schemas.openxmlformats.org/spreadsheetml/2006/main" count="69" uniqueCount="34">
  <si>
    <t>Quanto investir por mês</t>
  </si>
  <si>
    <t xml:space="preserve">Total de Patrimonio </t>
  </si>
  <si>
    <t>Dividendos mensais</t>
  </si>
  <si>
    <t>Por quantos anos?</t>
  </si>
  <si>
    <t>Taxa de rendimento mensal?</t>
  </si>
  <si>
    <t>INVESTIMENTO MENSAL</t>
  </si>
  <si>
    <t>Quanto em 2 anos?</t>
  </si>
  <si>
    <t>Quanto em 5 anos?</t>
  </si>
  <si>
    <t>Quanto em 10 anos?</t>
  </si>
  <si>
    <t>Quanto em 20 anos?</t>
  </si>
  <si>
    <t>CENÁRIOS</t>
  </si>
  <si>
    <t>Quanto em 30 anos?</t>
  </si>
  <si>
    <t>Dividendos</t>
  </si>
  <si>
    <t>Salário</t>
  </si>
  <si>
    <t>Rendimento Carteira</t>
  </si>
  <si>
    <t>CONFIGURAÇÕES</t>
  </si>
  <si>
    <t>Tipo de Perfil</t>
  </si>
  <si>
    <t>Valor a ser investido por mês</t>
  </si>
  <si>
    <t>Agressivo</t>
  </si>
  <si>
    <t>PAPEL</t>
  </si>
  <si>
    <t>TIJOLO</t>
  </si>
  <si>
    <t>HÍBRIDOS</t>
  </si>
  <si>
    <t>FOFs</t>
  </si>
  <si>
    <t>DESENVOLVIMENTO</t>
  </si>
  <si>
    <t>HOTELARIAS</t>
  </si>
  <si>
    <t>TIPO DE FII</t>
  </si>
  <si>
    <t>Percentual Sugerido</t>
  </si>
  <si>
    <t>Valores</t>
  </si>
  <si>
    <t>CHAVE</t>
  </si>
  <si>
    <t>PERFIL</t>
  </si>
  <si>
    <t>%</t>
  </si>
  <si>
    <t>Conservador</t>
  </si>
  <si>
    <t>Moderado</t>
  </si>
  <si>
    <t>Sugestão de Investimento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</si>
</sst>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/>
      <bottom style="hair">
        <color theme="0" tint="-0.34998626667073579"/>
      </bottom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3" fillId="2" borderId="2" xfId="0" applyFont="1" applyFill="1" applyBorder="1" applyAlignment="1">
      <alignment vertical="center"/>
    </xf>
    <xf numFmtId="0" fontId="0" fillId="0" borderId="4" xfId="0" applyBorder="1"/>
    <xf numFmtId="8" fontId="2" fillId="0" borderId="5" xfId="0" applyNumberFormat="1" applyFont="1" applyBorder="1" applyAlignment="1">
      <alignment horizontal="center"/>
    </xf>
    <xf numFmtId="8" fontId="0" fillId="0" borderId="6" xfId="0" applyNumberFormat="1" applyBorder="1"/>
    <xf numFmtId="0" fontId="0" fillId="0" borderId="7" xfId="0" applyBorder="1"/>
    <xf numFmtId="8" fontId="2" fillId="0" borderId="8" xfId="0" applyNumberFormat="1" applyFont="1" applyBorder="1" applyAlignment="1">
      <alignment horizontal="center"/>
    </xf>
    <xf numFmtId="0" fontId="0" fillId="0" borderId="9" xfId="0" applyBorder="1"/>
    <xf numFmtId="8" fontId="2" fillId="0" borderId="10" xfId="0" applyNumberFormat="1" applyFont="1" applyBorder="1" applyAlignment="1">
      <alignment horizontal="center"/>
    </xf>
    <xf numFmtId="0" fontId="6" fillId="0" borderId="11" xfId="0" applyFont="1" applyBorder="1"/>
    <xf numFmtId="44" fontId="4" fillId="0" borderId="12" xfId="1" applyFont="1" applyBorder="1" applyAlignment="1">
      <alignment horizontal="center"/>
    </xf>
    <xf numFmtId="0" fontId="6" fillId="0" borderId="13" xfId="0" applyFont="1" applyBorder="1"/>
    <xf numFmtId="0" fontId="4" fillId="0" borderId="14" xfId="0" applyFont="1" applyBorder="1" applyAlignment="1">
      <alignment horizontal="center"/>
    </xf>
    <xf numFmtId="10" fontId="4" fillId="0" borderId="14" xfId="2" applyNumberFormat="1" applyFont="1" applyBorder="1" applyAlignment="1">
      <alignment horizontal="center"/>
    </xf>
    <xf numFmtId="0" fontId="7" fillId="3" borderId="13" xfId="0" applyFont="1" applyFill="1" applyBorder="1"/>
    <xf numFmtId="8" fontId="8" fillId="3" borderId="14" xfId="0" applyNumberFormat="1" applyFont="1" applyFill="1" applyBorder="1" applyAlignment="1">
      <alignment horizontal="center"/>
    </xf>
    <xf numFmtId="0" fontId="7" fillId="3" borderId="15" xfId="0" applyFont="1" applyFill="1" applyBorder="1"/>
    <xf numFmtId="8" fontId="8" fillId="3" borderId="16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5" xfId="0" applyBorder="1"/>
    <xf numFmtId="44" fontId="0" fillId="0" borderId="12" xfId="1" applyFont="1" applyBorder="1" applyAlignment="1">
      <alignment horizontal="center"/>
    </xf>
    <xf numFmtId="9" fontId="0" fillId="0" borderId="14" xfId="2" applyFont="1" applyBorder="1" applyAlignment="1">
      <alignment horizontal="center"/>
    </xf>
    <xf numFmtId="8" fontId="0" fillId="0" borderId="17" xfId="0" applyNumberFormat="1" applyBorder="1"/>
    <xf numFmtId="44" fontId="0" fillId="0" borderId="16" xfId="1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0" fillId="0" borderId="0" xfId="0" applyBorder="1"/>
    <xf numFmtId="8" fontId="2" fillId="0" borderId="0" xfId="0" applyNumberFormat="1" applyFont="1" applyBorder="1" applyAlignment="1">
      <alignment horizontal="center"/>
    </xf>
    <xf numFmtId="8" fontId="0" fillId="0" borderId="0" xfId="0" applyNumberFormat="1" applyBorder="1"/>
    <xf numFmtId="0" fontId="0" fillId="5" borderId="0" xfId="0" applyFill="1"/>
    <xf numFmtId="0" fontId="0" fillId="6" borderId="0" xfId="0" applyFill="1"/>
    <xf numFmtId="44" fontId="0" fillId="6" borderId="0" xfId="1" applyFont="1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9" fontId="0" fillId="0" borderId="0" xfId="2" applyFont="1" applyAlignment="1">
      <alignment horizontal="center" vertical="center"/>
    </xf>
    <xf numFmtId="44" fontId="0" fillId="0" borderId="0" xfId="0" applyNumberFormat="1"/>
    <xf numFmtId="0" fontId="0" fillId="7" borderId="0" xfId="0" applyFill="1"/>
    <xf numFmtId="44" fontId="0" fillId="7" borderId="0" xfId="0" applyNumberFormat="1" applyFill="1"/>
    <xf numFmtId="0" fontId="0" fillId="0" borderId="18" xfId="0" applyBorder="1"/>
    <xf numFmtId="0" fontId="0" fillId="0" borderId="18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18" xfId="2" applyFont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center"/>
    </xf>
    <xf numFmtId="9" fontId="11" fillId="0" borderId="0" xfId="0" applyNumberFormat="1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Planilha2!$C$33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Planilha2!$B$34:$B$39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Planilha2!$C$34:$C$39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6-4474-9340-DC69C7614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Planilha2!$D$33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1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1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1">
                          <a:shade val="95000"/>
                        </a:schemeClr>
                      </a:solidFill>
                      <a:round/>
                    </a:ln>
                    <a:effectLst/>
                  </c:spPr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95000"/>
                        </a:schemeClr>
                      </a:solidFill>
                      <a:round/>
                    </a:ln>
                    <a:effectLst/>
                  </c:spPr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3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3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3">
                          <a:shade val="95000"/>
                        </a:schemeClr>
                      </a:solidFill>
                      <a:round/>
                    </a:ln>
                    <a:effectLst/>
                  </c:spPr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4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4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4">
                          <a:shade val="95000"/>
                        </a:schemeClr>
                      </a:solidFill>
                      <a:round/>
                    </a:ln>
                    <a:effectLst/>
                  </c:spPr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5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5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5">
                          <a:shade val="95000"/>
                        </a:schemeClr>
                      </a:solidFill>
                      <a:round/>
                    </a:ln>
                    <a:effectLst/>
                  </c:spPr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6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6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6">
                          <a:shade val="95000"/>
                        </a:schemeClr>
                      </a:solidFill>
                      <a:round/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Planilha2!$B$34:$B$39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Planilha2!$D$34:$D$39</c15:sqref>
                        </c15:formulaRef>
                      </c:ext>
                    </c:extLst>
                    <c:numCache>
                      <c:formatCode>0%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CF6-4474-9340-DC69C761438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0</xdr:row>
      <xdr:rowOff>66675</xdr:rowOff>
    </xdr:from>
    <xdr:to>
      <xdr:col>7</xdr:col>
      <xdr:colOff>16409</xdr:colOff>
      <xdr:row>8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4EF34E-F7C2-4209-A7F4-4A85F446EA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57175" y="66675"/>
          <a:ext cx="6569609" cy="1504950"/>
        </a:xfrm>
        <a:prstGeom prst="rect">
          <a:avLst/>
        </a:prstGeom>
      </xdr:spPr>
    </xdr:pic>
    <xdr:clientData/>
  </xdr:twoCellAnchor>
  <xdr:twoCellAnchor>
    <xdr:from>
      <xdr:col>1</xdr:col>
      <xdr:colOff>852487</xdr:colOff>
      <xdr:row>40</xdr:row>
      <xdr:rowOff>100012</xdr:rowOff>
    </xdr:from>
    <xdr:to>
      <xdr:col>5</xdr:col>
      <xdr:colOff>985837</xdr:colOff>
      <xdr:row>54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C5E3F4-447B-B0E2-C50B-BF3925185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6FD7-1222-4CE4-88E2-7834080D90BD}">
  <dimension ref="A1:J56"/>
  <sheetViews>
    <sheetView showGridLines="0" tabSelected="1" workbookViewId="0">
      <selection activeCell="G22" sqref="G22"/>
    </sheetView>
  </sheetViews>
  <sheetFormatPr defaultColWidth="0" defaultRowHeight="15" zeroHeight="1" x14ac:dyDescent="0.25"/>
  <cols>
    <col min="1" max="1" width="4.5703125" customWidth="1"/>
    <col min="2" max="2" width="28.28515625" bestFit="1" customWidth="1"/>
    <col min="3" max="3" width="14.42578125" bestFit="1" customWidth="1"/>
    <col min="4" max="4" width="11.7109375" bestFit="1" customWidth="1"/>
    <col min="5" max="5" width="12.140625" bestFit="1" customWidth="1"/>
    <col min="6" max="7" width="15.42578125" customWidth="1"/>
    <col min="8" max="8" width="9.85546875" customWidth="1"/>
    <col min="11" max="16384" width="9.140625" hidden="1"/>
  </cols>
  <sheetData>
    <row r="1" spans="2:3" x14ac:dyDescent="0.25"/>
    <row r="2" spans="2:3" x14ac:dyDescent="0.25"/>
    <row r="3" spans="2:3" x14ac:dyDescent="0.25"/>
    <row r="4" spans="2:3" x14ac:dyDescent="0.25"/>
    <row r="5" spans="2:3" x14ac:dyDescent="0.25"/>
    <row r="6" spans="2:3" x14ac:dyDescent="0.25"/>
    <row r="7" spans="2:3" x14ac:dyDescent="0.25"/>
    <row r="8" spans="2:3" x14ac:dyDescent="0.25"/>
    <row r="9" spans="2:3" ht="15.75" thickBot="1" x14ac:dyDescent="0.3"/>
    <row r="10" spans="2:3" ht="21" x14ac:dyDescent="0.25">
      <c r="B10" s="28" t="s">
        <v>15</v>
      </c>
      <c r="C10" s="29"/>
    </row>
    <row r="11" spans="2:3" x14ac:dyDescent="0.25">
      <c r="B11" s="19" t="s">
        <v>13</v>
      </c>
      <c r="C11" s="22">
        <v>5000</v>
      </c>
    </row>
    <row r="12" spans="2:3" x14ac:dyDescent="0.25">
      <c r="B12" s="20" t="s">
        <v>14</v>
      </c>
      <c r="C12" s="23">
        <v>0.01</v>
      </c>
    </row>
    <row r="13" spans="2:3" ht="15.75" thickBot="1" x14ac:dyDescent="0.3">
      <c r="B13" s="21" t="s">
        <v>33</v>
      </c>
      <c r="C13" s="25">
        <f>C11*30%</f>
        <v>1500</v>
      </c>
    </row>
    <row r="14" spans="2:3" ht="15.75" thickBot="1" x14ac:dyDescent="0.3"/>
    <row r="15" spans="2:3" ht="21" x14ac:dyDescent="0.25">
      <c r="B15" s="26" t="s">
        <v>5</v>
      </c>
      <c r="C15" s="27"/>
    </row>
    <row r="16" spans="2:3" ht="15.75" x14ac:dyDescent="0.25">
      <c r="B16" s="10" t="s">
        <v>0</v>
      </c>
      <c r="C16" s="11">
        <v>1500</v>
      </c>
    </row>
    <row r="17" spans="1:5" ht="15.75" x14ac:dyDescent="0.25">
      <c r="B17" s="12" t="s">
        <v>3</v>
      </c>
      <c r="C17" s="13">
        <v>5</v>
      </c>
    </row>
    <row r="18" spans="1:5" ht="15.75" x14ac:dyDescent="0.25">
      <c r="B18" s="12" t="s">
        <v>4</v>
      </c>
      <c r="C18" s="14">
        <v>1.0789999999999999E-2</v>
      </c>
    </row>
    <row r="19" spans="1:5" ht="15.75" x14ac:dyDescent="0.25">
      <c r="B19" s="15" t="s">
        <v>1</v>
      </c>
      <c r="C19" s="16">
        <f>FV(tx_red_mensal,tempo_anos*12,invest_mes*-1)</f>
        <v>125665.37099773147</v>
      </c>
    </row>
    <row r="20" spans="1:5" ht="16.5" thickBot="1" x14ac:dyDescent="0.3">
      <c r="B20" s="17" t="s">
        <v>2</v>
      </c>
      <c r="C20" s="18">
        <f>patrimonio*rendimento_carteira</f>
        <v>1256.6537099773147</v>
      </c>
    </row>
    <row r="21" spans="1:5" ht="15.75" thickBot="1" x14ac:dyDescent="0.3"/>
    <row r="22" spans="1:5" ht="21" x14ac:dyDescent="0.25">
      <c r="B22" s="26" t="s">
        <v>10</v>
      </c>
      <c r="C22" s="30"/>
      <c r="D22" s="2" t="s">
        <v>12</v>
      </c>
    </row>
    <row r="23" spans="1:5" x14ac:dyDescent="0.25">
      <c r="A23" s="1">
        <v>2</v>
      </c>
      <c r="B23" s="3" t="s">
        <v>6</v>
      </c>
      <c r="C23" s="4">
        <f>FV($C$18,$A23*12,$C$16*-1)</f>
        <v>40841.440946467825</v>
      </c>
      <c r="D23" s="5">
        <f>C23*rendimento_carteira</f>
        <v>408.41440946467827</v>
      </c>
    </row>
    <row r="24" spans="1:5" x14ac:dyDescent="0.25">
      <c r="A24" s="1">
        <v>5</v>
      </c>
      <c r="B24" s="6" t="s">
        <v>7</v>
      </c>
      <c r="C24" s="7">
        <f>FV($C$18,$A24*12,$C$16*-1)</f>
        <v>125665.37099773147</v>
      </c>
      <c r="D24" s="5">
        <f>C24*rendimento_carteira</f>
        <v>1256.6537099773147</v>
      </c>
    </row>
    <row r="25" spans="1:5" x14ac:dyDescent="0.25">
      <c r="A25" s="1">
        <v>10</v>
      </c>
      <c r="B25" s="6" t="s">
        <v>8</v>
      </c>
      <c r="C25" s="7">
        <f t="shared" ref="C25:C27" si="0">FV($C$18,$A25*12,$C$16*-1)</f>
        <v>364926.3187952583</v>
      </c>
      <c r="D25" s="5">
        <f>C25*rendimento_carteira</f>
        <v>3649.2631879525829</v>
      </c>
    </row>
    <row r="26" spans="1:5" x14ac:dyDescent="0.25">
      <c r="A26" s="1">
        <v>20</v>
      </c>
      <c r="B26" s="6" t="s">
        <v>9</v>
      </c>
      <c r="C26" s="7">
        <f t="shared" si="0"/>
        <v>1687797.600145621</v>
      </c>
      <c r="D26" s="5">
        <f>C26*rendimento_carteira</f>
        <v>16877.976001456209</v>
      </c>
    </row>
    <row r="27" spans="1:5" ht="15.75" thickBot="1" x14ac:dyDescent="0.3">
      <c r="A27" s="1">
        <v>30</v>
      </c>
      <c r="B27" s="8" t="s">
        <v>11</v>
      </c>
      <c r="C27" s="9">
        <f t="shared" si="0"/>
        <v>6483254.4825070715</v>
      </c>
      <c r="D27" s="24">
        <f>C27*rendimento_carteira</f>
        <v>64832.54482507072</v>
      </c>
    </row>
    <row r="28" spans="1:5" x14ac:dyDescent="0.25">
      <c r="A28" s="1"/>
      <c r="B28" s="31"/>
      <c r="C28" s="32"/>
      <c r="D28" s="33"/>
    </row>
    <row r="29" spans="1:5" x14ac:dyDescent="0.25"/>
    <row r="30" spans="1:5" x14ac:dyDescent="0.25">
      <c r="B30" s="34" t="s">
        <v>16</v>
      </c>
      <c r="C30" s="34"/>
      <c r="D30" s="34"/>
      <c r="E30" s="34" t="s">
        <v>32</v>
      </c>
    </row>
    <row r="31" spans="1:5" x14ac:dyDescent="0.25">
      <c r="B31" s="35" t="s">
        <v>17</v>
      </c>
      <c r="C31" s="35"/>
      <c r="D31" s="35"/>
      <c r="E31" s="36">
        <v>1500</v>
      </c>
    </row>
    <row r="32" spans="1:5" x14ac:dyDescent="0.25"/>
    <row r="33" spans="2:5" x14ac:dyDescent="0.25">
      <c r="B33" s="39" t="s">
        <v>25</v>
      </c>
      <c r="C33" s="40" t="s">
        <v>26</v>
      </c>
      <c r="D33" s="40"/>
      <c r="E33" s="39" t="s">
        <v>27</v>
      </c>
    </row>
    <row r="34" spans="2:5" x14ac:dyDescent="0.25">
      <c r="B34" s="37" t="s">
        <v>19</v>
      </c>
      <c r="C34" s="41">
        <f>VLOOKUP(($E$30&amp;"-"&amp;B34),Planilha1!$A:$D,4,FALSE)</f>
        <v>0.32</v>
      </c>
      <c r="D34" s="41"/>
      <c r="E34" s="42">
        <f>C34*$E$31</f>
        <v>480</v>
      </c>
    </row>
    <row r="35" spans="2:5" x14ac:dyDescent="0.25">
      <c r="B35" s="37" t="s">
        <v>20</v>
      </c>
      <c r="C35" s="41">
        <f>VLOOKUP(($E$30&amp;"-"&amp;B35),Planilha1!$A:$D,4,FALSE)</f>
        <v>0.4</v>
      </c>
      <c r="D35" s="41"/>
      <c r="E35" s="42">
        <f t="shared" ref="E35:E39" si="1">C35*$E$31</f>
        <v>600</v>
      </c>
    </row>
    <row r="36" spans="2:5" x14ac:dyDescent="0.25">
      <c r="B36" s="37" t="s">
        <v>21</v>
      </c>
      <c r="C36" s="41">
        <f>VLOOKUP(($E$30&amp;"-"&amp;B36),Planilha1!$A:$D,4,FALSE)</f>
        <v>0.08</v>
      </c>
      <c r="D36" s="41"/>
      <c r="E36" s="42">
        <f t="shared" si="1"/>
        <v>120</v>
      </c>
    </row>
    <row r="37" spans="2:5" x14ac:dyDescent="0.25">
      <c r="B37" s="37" t="s">
        <v>22</v>
      </c>
      <c r="C37" s="41">
        <f>VLOOKUP(($E$30&amp;"-"&amp;B37),Planilha1!$A:$D,4,FALSE)</f>
        <v>0.1</v>
      </c>
      <c r="D37" s="41"/>
      <c r="E37" s="42">
        <f t="shared" si="1"/>
        <v>150</v>
      </c>
    </row>
    <row r="38" spans="2:5" x14ac:dyDescent="0.25">
      <c r="B38" s="37" t="s">
        <v>23</v>
      </c>
      <c r="C38" s="41">
        <f>VLOOKUP(($E$30&amp;"-"&amp;B38),Planilha1!$A:$D,4,FALSE)</f>
        <v>0.05</v>
      </c>
      <c r="D38" s="41"/>
      <c r="E38" s="42">
        <f t="shared" si="1"/>
        <v>75</v>
      </c>
    </row>
    <row r="39" spans="2:5" x14ac:dyDescent="0.25">
      <c r="B39" s="37" t="s">
        <v>24</v>
      </c>
      <c r="C39" s="41">
        <f>VLOOKUP(($E$30&amp;"-"&amp;B39),Planilha1!$A:$D,4,FALSE)</f>
        <v>0.05</v>
      </c>
      <c r="D39" s="41"/>
      <c r="E39" s="42">
        <f t="shared" si="1"/>
        <v>75</v>
      </c>
    </row>
    <row r="40" spans="2:5" x14ac:dyDescent="0.25">
      <c r="B40" s="43"/>
      <c r="C40" s="43"/>
      <c r="D40" s="43"/>
      <c r="E40" s="44">
        <f>SUM(E34:E39)</f>
        <v>1500</v>
      </c>
    </row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48" spans="2:5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</sheetData>
  <mergeCells count="10">
    <mergeCell ref="C35:D35"/>
    <mergeCell ref="C36:D36"/>
    <mergeCell ref="C37:D37"/>
    <mergeCell ref="C38:D38"/>
    <mergeCell ref="C39:D39"/>
    <mergeCell ref="B15:C15"/>
    <mergeCell ref="B22:C22"/>
    <mergeCell ref="B10:C10"/>
    <mergeCell ref="C33:D33"/>
    <mergeCell ref="C34:D34"/>
  </mergeCells>
  <dataValidations count="1">
    <dataValidation type="list" allowBlank="1" showInputMessage="1" showErrorMessage="1" sqref="E30" xr:uid="{454B78B3-961D-4F6F-B6AD-030C3ADB0E1D}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6080-776C-4175-8683-129D010C8E0F}">
  <dimension ref="A1:D19"/>
  <sheetViews>
    <sheetView workbookViewId="0">
      <selection activeCell="D7" sqref="D2:D7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</cols>
  <sheetData>
    <row r="1" spans="1:4" ht="18.75" x14ac:dyDescent="0.3">
      <c r="A1" s="50" t="s">
        <v>28</v>
      </c>
      <c r="B1" s="50" t="s">
        <v>29</v>
      </c>
      <c r="C1" s="50" t="s">
        <v>25</v>
      </c>
      <c r="D1" s="50" t="s">
        <v>30</v>
      </c>
    </row>
    <row r="2" spans="1:4" x14ac:dyDescent="0.25">
      <c r="A2" t="str">
        <f>B2&amp;"-"&amp;C2</f>
        <v>Conservador-PAPEL</v>
      </c>
      <c r="B2" t="s">
        <v>31</v>
      </c>
      <c r="C2" s="37" t="s">
        <v>19</v>
      </c>
      <c r="D2" s="48">
        <v>0.3</v>
      </c>
    </row>
    <row r="3" spans="1:4" x14ac:dyDescent="0.25">
      <c r="A3" t="str">
        <f t="shared" ref="A3:A19" si="0">B3&amp;"-"&amp;C3</f>
        <v>Conservador-TIJOLO</v>
      </c>
      <c r="B3" t="s">
        <v>31</v>
      </c>
      <c r="C3" s="37" t="s">
        <v>20</v>
      </c>
      <c r="D3" s="48">
        <v>0.5</v>
      </c>
    </row>
    <row r="4" spans="1:4" x14ac:dyDescent="0.25">
      <c r="A4" t="str">
        <f t="shared" si="0"/>
        <v>Conservador-HÍBRIDOS</v>
      </c>
      <c r="B4" t="s">
        <v>31</v>
      </c>
      <c r="C4" s="37" t="s">
        <v>21</v>
      </c>
      <c r="D4" s="48">
        <v>0.1</v>
      </c>
    </row>
    <row r="5" spans="1:4" x14ac:dyDescent="0.25">
      <c r="A5" t="str">
        <f t="shared" si="0"/>
        <v>Conservador-FOFs</v>
      </c>
      <c r="B5" t="s">
        <v>31</v>
      </c>
      <c r="C5" s="37" t="s">
        <v>22</v>
      </c>
      <c r="D5" s="48">
        <v>0.1</v>
      </c>
    </row>
    <row r="6" spans="1:4" x14ac:dyDescent="0.25">
      <c r="A6" t="str">
        <f t="shared" si="0"/>
        <v>Conservador-DESENVOLVIMENTO</v>
      </c>
      <c r="B6" t="s">
        <v>31</v>
      </c>
      <c r="C6" s="37" t="s">
        <v>23</v>
      </c>
      <c r="D6" s="48">
        <v>0</v>
      </c>
    </row>
    <row r="7" spans="1:4" ht="15.75" thickBot="1" x14ac:dyDescent="0.3">
      <c r="A7" s="45" t="str">
        <f t="shared" si="0"/>
        <v>Conservador-HOTELARIAS</v>
      </c>
      <c r="B7" s="45" t="s">
        <v>31</v>
      </c>
      <c r="C7" s="46" t="s">
        <v>24</v>
      </c>
      <c r="D7" s="49">
        <v>0</v>
      </c>
    </row>
    <row r="8" spans="1:4" x14ac:dyDescent="0.25">
      <c r="A8" t="str">
        <f t="shared" si="0"/>
        <v>Moderado-PAPEL</v>
      </c>
      <c r="B8" t="s">
        <v>32</v>
      </c>
      <c r="C8" s="37" t="s">
        <v>19</v>
      </c>
      <c r="D8" s="38">
        <v>0.32</v>
      </c>
    </row>
    <row r="9" spans="1:4" x14ac:dyDescent="0.25">
      <c r="A9" t="str">
        <f t="shared" si="0"/>
        <v>Moderado-TIJOLO</v>
      </c>
      <c r="B9" s="51" t="s">
        <v>32</v>
      </c>
      <c r="C9" s="52" t="s">
        <v>20</v>
      </c>
      <c r="D9" s="53">
        <v>0.4</v>
      </c>
    </row>
    <row r="10" spans="1:4" x14ac:dyDescent="0.25">
      <c r="A10" t="str">
        <f t="shared" si="0"/>
        <v>Moderado-HÍBRIDOS</v>
      </c>
      <c r="B10" t="s">
        <v>32</v>
      </c>
      <c r="C10" s="37" t="s">
        <v>21</v>
      </c>
      <c r="D10" s="38">
        <v>0.08</v>
      </c>
    </row>
    <row r="11" spans="1:4" x14ac:dyDescent="0.25">
      <c r="A11" t="str">
        <f t="shared" si="0"/>
        <v>Moderado-FOFs</v>
      </c>
      <c r="B11" t="s">
        <v>32</v>
      </c>
      <c r="C11" s="37" t="s">
        <v>22</v>
      </c>
      <c r="D11" s="38">
        <v>0.1</v>
      </c>
    </row>
    <row r="12" spans="1:4" x14ac:dyDescent="0.25">
      <c r="A12" t="str">
        <f t="shared" si="0"/>
        <v>Moderado-DESENVOLVIMENTO</v>
      </c>
      <c r="B12" t="s">
        <v>32</v>
      </c>
      <c r="C12" s="37" t="s">
        <v>23</v>
      </c>
      <c r="D12" s="38">
        <v>0.05</v>
      </c>
    </row>
    <row r="13" spans="1:4" ht="15.75" thickBot="1" x14ac:dyDescent="0.3">
      <c r="A13" s="45" t="str">
        <f t="shared" si="0"/>
        <v>Moderado-HOTELARIAS</v>
      </c>
      <c r="B13" s="45" t="s">
        <v>32</v>
      </c>
      <c r="C13" s="46" t="s">
        <v>24</v>
      </c>
      <c r="D13" s="47">
        <v>0.05</v>
      </c>
    </row>
    <row r="14" spans="1:4" x14ac:dyDescent="0.25">
      <c r="A14" t="str">
        <f t="shared" si="0"/>
        <v>Agressivo-PAPEL</v>
      </c>
      <c r="B14" t="s">
        <v>18</v>
      </c>
      <c r="C14" s="37" t="s">
        <v>19</v>
      </c>
      <c r="D14" s="38">
        <v>0.5</v>
      </c>
    </row>
    <row r="15" spans="1:4" x14ac:dyDescent="0.25">
      <c r="A15" t="str">
        <f t="shared" si="0"/>
        <v>Agressivo-TIJOLO</v>
      </c>
      <c r="B15" t="s">
        <v>18</v>
      </c>
      <c r="C15" s="37" t="s">
        <v>20</v>
      </c>
      <c r="D15" s="38">
        <v>0.1</v>
      </c>
    </row>
    <row r="16" spans="1:4" x14ac:dyDescent="0.25">
      <c r="A16" t="str">
        <f t="shared" si="0"/>
        <v>Agressivo-HÍBRIDOS</v>
      </c>
      <c r="B16" t="s">
        <v>18</v>
      </c>
      <c r="C16" s="37" t="s">
        <v>21</v>
      </c>
      <c r="D16" s="38">
        <v>0.05</v>
      </c>
    </row>
    <row r="17" spans="1:4" x14ac:dyDescent="0.25">
      <c r="A17" t="str">
        <f t="shared" si="0"/>
        <v>Agressivo-FOFs</v>
      </c>
      <c r="B17" t="s">
        <v>18</v>
      </c>
      <c r="C17" s="37" t="s">
        <v>22</v>
      </c>
      <c r="D17" s="38">
        <v>0.05</v>
      </c>
    </row>
    <row r="18" spans="1:4" x14ac:dyDescent="0.25">
      <c r="A18" t="str">
        <f t="shared" si="0"/>
        <v>Agressivo-DESENVOLVIMENTO</v>
      </c>
      <c r="B18" t="s">
        <v>18</v>
      </c>
      <c r="C18" s="37" t="s">
        <v>23</v>
      </c>
      <c r="D18" s="38">
        <v>0.2</v>
      </c>
    </row>
    <row r="19" spans="1:4" x14ac:dyDescent="0.25">
      <c r="A19" t="str">
        <f t="shared" si="0"/>
        <v>Agressivo-HOTELARIAS</v>
      </c>
      <c r="B19" t="s">
        <v>18</v>
      </c>
      <c r="C19" s="37" t="s">
        <v>24</v>
      </c>
      <c r="D19" s="3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Planilha2</vt:lpstr>
      <vt:lpstr>Planilha1</vt:lpstr>
      <vt:lpstr>invest_mes</vt:lpstr>
      <vt:lpstr>patrimonio</vt:lpstr>
      <vt:lpstr>rendimento_carteira</vt:lpstr>
      <vt:lpstr>tempo_anos</vt:lpstr>
      <vt:lpstr>tx_red_mensal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Santi</dc:creator>
  <cp:lastModifiedBy>Thais Santi</cp:lastModifiedBy>
  <dcterms:created xsi:type="dcterms:W3CDTF">2025-12-26T12:47:49Z</dcterms:created>
  <dcterms:modified xsi:type="dcterms:W3CDTF">2025-12-26T21:06:48Z</dcterms:modified>
</cp:coreProperties>
</file>